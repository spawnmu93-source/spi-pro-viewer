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aras_Depositos" sheetId="1" state="visible" r:id="rId1"/>
    <sheet xmlns:r="http://schemas.openxmlformats.org/officeDocument/2006/relationships" name="Stock_Medias_Reses" sheetId="2" state="visible" r:id="rId2"/>
    <sheet xmlns:r="http://schemas.openxmlformats.org/officeDocument/2006/relationships" name="Movimientos_Kardex" sheetId="3" state="visible" r:id="rId3"/>
    <sheet xmlns:r="http://schemas.openxmlformats.org/officeDocument/2006/relationships" name="Auditorias_Stock" sheetId="4" state="visible" r:id="rId4"/>
    <sheet xmlns:r="http://schemas.openxmlformats.org/officeDocument/2006/relationships" name="Parametros_Valid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22" customWidth="1" min="3" max="3"/>
    <col width="23" customWidth="1" min="4" max="4"/>
    <col width="26" customWidth="1" min="5" max="5"/>
    <col width="41" customWidth="1" min="6" max="6"/>
    <col width="63" customWidth="1" min="7" max="7"/>
    <col width="24" customWidth="1" min="8" max="8"/>
    <col width="60" customWidth="1" min="9" max="9"/>
    <col width="22" customWidth="1" min="10" max="10"/>
  </cols>
  <sheetData>
    <row r="1" ht="28" customHeight="1">
      <c r="A1" s="1" t="inlineStr">
        <is>
          <t>ID_Camara</t>
        </is>
      </c>
      <c r="B1" s="1" t="inlineStr">
        <is>
          <t>Nombre_Camara</t>
        </is>
      </c>
      <c r="C1" s="1" t="inlineStr">
        <is>
          <t>Tipo_Deposito</t>
        </is>
      </c>
      <c r="D1" s="1" t="inlineStr">
        <is>
          <t>Capacidad_Maxima_MR</t>
        </is>
      </c>
      <c r="E1" s="1" t="inlineStr">
        <is>
          <t>Temperatura_Objetivo_C</t>
        </is>
      </c>
      <c r="F1" s="1" t="inlineStr">
        <is>
          <t>Stock_Actual_MR</t>
        </is>
      </c>
      <c r="G1" s="1" t="inlineStr">
        <is>
          <t>Kilos_Totales_Actuales</t>
        </is>
      </c>
      <c r="H1" s="1" t="inlineStr">
        <is>
          <t>Porcentaje_Ocupacion</t>
        </is>
      </c>
      <c r="I1" s="1" t="inlineStr">
        <is>
          <t>Estado_Ocupacion</t>
        </is>
      </c>
      <c r="J1" s="1" t="inlineStr">
        <is>
          <t>Responsable_Sector</t>
        </is>
      </c>
    </row>
    <row r="2" ht="20" customHeight="1">
      <c r="A2" s="2" t="inlineStr">
        <is>
          <t>CO1</t>
        </is>
      </c>
      <c r="B2" s="2" t="inlineStr">
        <is>
          <t>Cámara de Oreo 1</t>
        </is>
      </c>
      <c r="C2" s="2" t="inlineStr">
        <is>
          <t>OREO_FAENA</t>
        </is>
      </c>
      <c r="D2" s="3" t="n">
        <v>400</v>
      </c>
      <c r="E2" s="3" t="n">
        <v>2</v>
      </c>
      <c r="F2" s="2">
        <f>COUNTIF(Stock_Medias_Reses!E:E, A2)</f>
        <v/>
      </c>
      <c r="G2" s="2">
        <f>SUMIF(Stock_Medias_Reses!E:E, A2, Stock_Medias_Reses!H:H)</f>
        <v/>
      </c>
      <c r="H2" s="2">
        <f>IF(D2&gt;0, F2/D2, 0)</f>
        <v/>
      </c>
      <c r="I2" s="2">
        <f>IF(H2&gt;0.95, "SATURADA", IF(H2&gt;0.8, "ALERTA", "NORMAL"))</f>
        <v/>
      </c>
      <c r="J2" s="2" t="inlineStr">
        <is>
          <t>Carlos Rossi</t>
        </is>
      </c>
    </row>
    <row r="3" ht="20" customHeight="1">
      <c r="A3" s="2" t="inlineStr">
        <is>
          <t>CO2</t>
        </is>
      </c>
      <c r="B3" s="2" t="inlineStr">
        <is>
          <t>Cámara de Oreo 2</t>
        </is>
      </c>
      <c r="C3" s="2" t="inlineStr">
        <is>
          <t>OREO_FAENA</t>
        </is>
      </c>
      <c r="D3" s="3" t="n">
        <v>400</v>
      </c>
      <c r="E3" s="3" t="n">
        <v>2</v>
      </c>
      <c r="F3" s="2">
        <f>COUNTIF(Stock_Medias_Reses!E:E, A3)</f>
        <v/>
      </c>
      <c r="G3" s="2">
        <f>SUMIF(Stock_Medias_Reses!E:E, A3, Stock_Medias_Reses!H:H)</f>
        <v/>
      </c>
      <c r="H3" s="2">
        <f>IF(D3&gt;0, F3/D3, 0)</f>
        <v/>
      </c>
      <c r="I3" s="2">
        <f>IF(H3&gt;0.95, "SATURADA", IF(H3&gt;0.8, "ALERTA", "NORMAL"))</f>
        <v/>
      </c>
      <c r="J3" s="2" t="inlineStr">
        <is>
          <t>Carlos Rossi</t>
        </is>
      </c>
    </row>
    <row r="4" ht="20" customHeight="1">
      <c r="A4" s="2" t="inlineStr">
        <is>
          <t>C1</t>
        </is>
      </c>
      <c r="B4" s="2" t="inlineStr">
        <is>
          <t>Cámara Frigorífica 1</t>
        </is>
      </c>
      <c r="C4" s="2" t="inlineStr">
        <is>
          <t>CONSERVACION</t>
        </is>
      </c>
      <c r="D4" s="3" t="n">
        <v>700</v>
      </c>
      <c r="E4" s="3" t="n">
        <v>0</v>
      </c>
      <c r="F4" s="2">
        <f>COUNTIF(Stock_Medias_Reses!E:E, A4)</f>
        <v/>
      </c>
      <c r="G4" s="2">
        <f>SUMIF(Stock_Medias_Reses!E:E, A4, Stock_Medias_Reses!H:H)</f>
        <v/>
      </c>
      <c r="H4" s="2">
        <f>IF(D4&gt;0, F4/D4, 0)</f>
        <v/>
      </c>
      <c r="I4" s="2">
        <f>IF(H4&gt;0.95, "SATURADA", IF(H4&gt;0.8, "ALERTA", "NORMAL"))</f>
        <v/>
      </c>
      <c r="J4" s="2" t="inlineStr">
        <is>
          <t>Esteban Morales</t>
        </is>
      </c>
    </row>
    <row r="5" ht="20" customHeight="1">
      <c r="A5" s="2" t="inlineStr">
        <is>
          <t>C2</t>
        </is>
      </c>
      <c r="B5" s="2" t="inlineStr">
        <is>
          <t>Cámara Frigorífica 2</t>
        </is>
      </c>
      <c r="C5" s="2" t="inlineStr">
        <is>
          <t>CONSERVACION</t>
        </is>
      </c>
      <c r="D5" s="3" t="n">
        <v>700</v>
      </c>
      <c r="E5" s="3" t="n">
        <v>0</v>
      </c>
      <c r="F5" s="2">
        <f>COUNTIF(Stock_Medias_Reses!E:E, A5)</f>
        <v/>
      </c>
      <c r="G5" s="2">
        <f>SUMIF(Stock_Medias_Reses!E:E, A5, Stock_Medias_Reses!H:H)</f>
        <v/>
      </c>
      <c r="H5" s="2">
        <f>IF(D5&gt;0, F5/D5, 0)</f>
        <v/>
      </c>
      <c r="I5" s="2">
        <f>IF(H5&gt;0.95, "SATURADA", IF(H5&gt;0.8, "ALERTA", "NORMAL"))</f>
        <v/>
      </c>
      <c r="J5" s="2" t="inlineStr">
        <is>
          <t>Esteban Morales</t>
        </is>
      </c>
    </row>
    <row r="6" ht="20" customHeight="1">
      <c r="A6" s="2" t="inlineStr">
        <is>
          <t>C3</t>
        </is>
      </c>
      <c r="B6" s="2" t="inlineStr">
        <is>
          <t>Cámara Frigorífica 3</t>
        </is>
      </c>
      <c r="C6" s="2" t="inlineStr">
        <is>
          <t>CONSERVACION</t>
        </is>
      </c>
      <c r="D6" s="3" t="n">
        <v>700</v>
      </c>
      <c r="E6" s="3" t="n">
        <v>0</v>
      </c>
      <c r="F6" s="2">
        <f>COUNTIF(Stock_Medias_Reses!E:E, A6)</f>
        <v/>
      </c>
      <c r="G6" s="2">
        <f>SUMIF(Stock_Medias_Reses!E:E, A6, Stock_Medias_Reses!H:H)</f>
        <v/>
      </c>
      <c r="H6" s="2">
        <f>IF(D6&gt;0, F6/D6, 0)</f>
        <v/>
      </c>
      <c r="I6" s="2">
        <f>IF(H6&gt;0.95, "SATURADA", IF(H6&gt;0.8, "ALERTA", "NORMAL"))</f>
        <v/>
      </c>
      <c r="J6" s="2" t="inlineStr">
        <is>
          <t>Esteban Morales</t>
        </is>
      </c>
    </row>
    <row r="7" ht="20" customHeight="1">
      <c r="A7" s="2" t="inlineStr">
        <is>
          <t>C4</t>
        </is>
      </c>
      <c r="B7" s="2" t="inlineStr">
        <is>
          <t>Cámara Frigorífica 4</t>
        </is>
      </c>
      <c r="C7" s="2" t="inlineStr">
        <is>
          <t>CONSERVACION</t>
        </is>
      </c>
      <c r="D7" s="3" t="n">
        <v>700</v>
      </c>
      <c r="E7" s="3" t="n">
        <v>0</v>
      </c>
      <c r="F7" s="2">
        <f>COUNTIF(Stock_Medias_Reses!E:E, A7)</f>
        <v/>
      </c>
      <c r="G7" s="2">
        <f>SUMIF(Stock_Medias_Reses!E:E, A7, Stock_Medias_Reses!H:H)</f>
        <v/>
      </c>
      <c r="H7" s="2">
        <f>IF(D7&gt;0, F7/D7, 0)</f>
        <v/>
      </c>
      <c r="I7" s="2">
        <f>IF(H7&gt;0.95, "SATURADA", IF(H7&gt;0.8, "ALERTA", "NORMAL"))</f>
        <v/>
      </c>
      <c r="J7" s="2" t="inlineStr">
        <is>
          <t>Esteban Morales</t>
        </is>
      </c>
    </row>
    <row r="8" ht="20" customHeight="1">
      <c r="A8" s="2" t="inlineStr">
        <is>
          <t>C5</t>
        </is>
      </c>
      <c r="B8" s="2" t="inlineStr">
        <is>
          <t>Cámara Frigorífica 5</t>
        </is>
      </c>
      <c r="C8" s="2" t="inlineStr">
        <is>
          <t>CONSERVACION</t>
        </is>
      </c>
      <c r="D8" s="3" t="n">
        <v>700</v>
      </c>
      <c r="E8" s="3" t="n">
        <v>0</v>
      </c>
      <c r="F8" s="2">
        <f>COUNTIF(Stock_Medias_Reses!E:E, A8)</f>
        <v/>
      </c>
      <c r="G8" s="2">
        <f>SUMIF(Stock_Medias_Reses!E:E, A8, Stock_Medias_Reses!H:H)</f>
        <v/>
      </c>
      <c r="H8" s="2">
        <f>IF(D8&gt;0, F8/D8, 0)</f>
        <v/>
      </c>
      <c r="I8" s="2">
        <f>IF(H8&gt;0.95, "SATURADA", IF(H8&gt;0.8, "ALERTA", "NORMAL"))</f>
        <v/>
      </c>
      <c r="J8" s="2" t="inlineStr">
        <is>
          <t>Esteban Morales</t>
        </is>
      </c>
    </row>
    <row r="9" ht="20" customHeight="1">
      <c r="A9" s="2" t="inlineStr">
        <is>
          <t>C6</t>
        </is>
      </c>
      <c r="B9" s="2" t="inlineStr">
        <is>
          <t>Cámara Frigorífica 6</t>
        </is>
      </c>
      <c r="C9" s="2" t="inlineStr">
        <is>
          <t>CONSERVACION</t>
        </is>
      </c>
      <c r="D9" s="3" t="n">
        <v>700</v>
      </c>
      <c r="E9" s="3" t="n">
        <v>0</v>
      </c>
      <c r="F9" s="2">
        <f>COUNTIF(Stock_Medias_Reses!E:E, A9)</f>
        <v/>
      </c>
      <c r="G9" s="2">
        <f>SUMIF(Stock_Medias_Reses!E:E, A9, Stock_Medias_Reses!H:H)</f>
        <v/>
      </c>
      <c r="H9" s="2">
        <f>IF(D9&gt;0, F9/D9, 0)</f>
        <v/>
      </c>
      <c r="I9" s="2">
        <f>IF(H9&gt;0.95, "SATURADA", IF(H9&gt;0.8, "ALERTA", "NORMAL"))</f>
        <v/>
      </c>
      <c r="J9" s="2" t="inlineStr">
        <is>
          <t>Esteban Morales</t>
        </is>
      </c>
    </row>
    <row r="10" ht="20" customHeight="1">
      <c r="A10" s="2" t="inlineStr">
        <is>
          <t>FABRICA_DESOSTE</t>
        </is>
      </c>
      <c r="B10" s="2" t="inlineStr">
        <is>
          <t>Fábrica / Sala de Desposte</t>
        </is>
      </c>
      <c r="C10" s="2" t="inlineStr">
        <is>
          <t>PROCESO_PRODUCTIVO</t>
        </is>
      </c>
      <c r="D10" s="3" t="n">
        <v>0</v>
      </c>
      <c r="E10" s="3" t="n">
        <v>8</v>
      </c>
      <c r="F10" s="2">
        <f>COUNTIF(Stock_Medias_Reses!E:E, A10)</f>
        <v/>
      </c>
      <c r="G10" s="2">
        <f>SUMIF(Stock_Medias_Reses!E:E, A10, Stock_Medias_Reses!H:H)</f>
        <v/>
      </c>
      <c r="H10" s="3" t="n">
        <v>0</v>
      </c>
      <c r="I10" s="2" t="inlineStr">
        <is>
          <t>TRANSITO</t>
        </is>
      </c>
      <c r="J10" s="2" t="inlineStr">
        <is>
          <t>Miguel Fiambrero</t>
        </is>
      </c>
    </row>
    <row r="11" ht="20" customHeight="1">
      <c r="A11" s="2" t="inlineStr">
        <is>
          <t>EXPEDICION_DESPACHO</t>
        </is>
      </c>
      <c r="B11" s="2" t="inlineStr">
        <is>
          <t>Plataforma de Expedición y Despacho</t>
        </is>
      </c>
      <c r="C11" s="2" t="inlineStr">
        <is>
          <t>LOGISTICA</t>
        </is>
      </c>
      <c r="D11" s="3" t="n">
        <v>0</v>
      </c>
      <c r="E11" s="3" t="n">
        <v>4</v>
      </c>
      <c r="F11" s="2">
        <f>COUNTIF(Stock_Medias_Reses!E:E, A11)</f>
        <v/>
      </c>
      <c r="G11" s="2">
        <f>SUMIF(Stock_Medias_Reses!E:E, A11, Stock_Medias_Reses!H:H)</f>
        <v/>
      </c>
      <c r="H11" s="3" t="n">
        <v>0</v>
      </c>
      <c r="I11" s="2" t="inlineStr">
        <is>
          <t>TRANSITO</t>
        </is>
      </c>
      <c r="J11" s="2" t="inlineStr">
        <is>
          <t>Esteban Morales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2" customWidth="1" min="3" max="3"/>
    <col width="18" customWidth="1" min="4" max="4"/>
    <col width="20" customWidth="1" min="5" max="5"/>
    <col width="15" customWidth="1" min="6" max="6"/>
    <col width="15" customWidth="1" min="7" max="7"/>
    <col width="20" customWidth="1" min="8" max="8"/>
    <col width="16" customWidth="1" min="9" max="9"/>
    <col width="17" customWidth="1" min="10" max="10"/>
    <col width="18" customWidth="1" min="11" max="11"/>
    <col width="20" customWidth="1" min="12" max="12"/>
    <col width="27" customWidth="1" min="13" max="13"/>
    <col width="26" customWidth="1" min="14" max="14"/>
    <col width="21" customWidth="1" min="15" max="15"/>
    <col width="19" customWidth="1" min="16" max="16"/>
    <col width="18" customWidth="1" min="17" max="17"/>
    <col width="35" customWidth="1" min="18" max="18"/>
    <col width="27" customWidth="1" min="19" max="19"/>
  </cols>
  <sheetData>
    <row r="1" ht="28" customHeight="1">
      <c r="A1" s="4" t="inlineStr">
        <is>
          <t>ID_Media_Res</t>
        </is>
      </c>
      <c r="B1" s="4" t="inlineStr">
        <is>
          <t>Numero_Animal</t>
        </is>
      </c>
      <c r="C1" s="4" t="inlineStr">
        <is>
          <t>Lado</t>
        </is>
      </c>
      <c r="D1" s="4" t="inlineStr">
        <is>
          <t>Tropa</t>
        </is>
      </c>
      <c r="E1" s="4" t="inlineStr">
        <is>
          <t>Ubicacion_Actual</t>
        </is>
      </c>
      <c r="F1" s="4" t="inlineStr">
        <is>
          <t>Tipo_Animal</t>
        </is>
      </c>
      <c r="G1" s="4" t="inlineStr">
        <is>
          <t>Fecha_Faena</t>
        </is>
      </c>
      <c r="H1" s="4" t="inlineStr">
        <is>
          <t>Peso_Caliente_Kg</t>
        </is>
      </c>
      <c r="I1" s="4" t="inlineStr">
        <is>
          <t>Peso_Frio_Kg</t>
        </is>
      </c>
      <c r="J1" s="4" t="inlineStr">
        <is>
          <t>Merma_Oreo_Kg</t>
        </is>
      </c>
      <c r="K1" s="4" t="inlineStr">
        <is>
          <t>Merma_Oreo_Pct</t>
        </is>
      </c>
      <c r="L1" s="4" t="inlineStr">
        <is>
          <t>Estado_Sanitario</t>
        </is>
      </c>
      <c r="M1" s="4" t="inlineStr">
        <is>
          <t>Decomiso_Parcial_Motivo</t>
        </is>
      </c>
      <c r="N1" s="4" t="inlineStr">
        <is>
          <t>Decomiso_Parcial_Kilos</t>
        </is>
      </c>
      <c r="O1" s="4" t="inlineStr">
        <is>
          <t>Kilos_Netos_Aptos</t>
        </is>
      </c>
      <c r="P1" s="4" t="inlineStr">
        <is>
          <t>Estado_Ciclo</t>
        </is>
      </c>
      <c r="Q1" s="4" t="inlineStr">
        <is>
          <t>Captura_Manual</t>
        </is>
      </c>
      <c r="R1" s="4" t="inlineStr">
        <is>
          <t>Autorizado_Por</t>
        </is>
      </c>
      <c r="S1" s="4" t="inlineStr">
        <is>
          <t>Fecha_Ultimo_Movimiento</t>
        </is>
      </c>
    </row>
    <row r="2" ht="20" customHeight="1">
      <c r="A2" s="2" t="inlineStr">
        <is>
          <t>MR-IZQ-00412-01</t>
        </is>
      </c>
      <c r="B2" s="3" t="n">
        <v>1</v>
      </c>
      <c r="C2" s="2" t="inlineStr">
        <is>
          <t>IZQ</t>
        </is>
      </c>
      <c r="D2" s="2" t="inlineStr">
        <is>
          <t>TRP-2026-00412</t>
        </is>
      </c>
      <c r="E2" s="2" t="inlineStr">
        <is>
          <t>C1</t>
        </is>
      </c>
      <c r="F2" s="2" t="inlineStr">
        <is>
          <t>MEI</t>
        </is>
      </c>
      <c r="G2" s="2" t="inlineStr">
        <is>
          <t>2026-09-04</t>
        </is>
      </c>
      <c r="H2" s="3" t="n">
        <v>43.1</v>
      </c>
      <c r="I2" s="3" t="n">
        <v>42.2</v>
      </c>
      <c r="J2" s="2">
        <f>H2-I2</f>
        <v/>
      </c>
      <c r="K2" s="2">
        <f>J2/H2</f>
        <v/>
      </c>
      <c r="L2" s="2" t="inlineStr">
        <is>
          <t>APTA</t>
        </is>
      </c>
      <c r="M2" s="2" t="inlineStr"/>
      <c r="N2" s="3" t="n">
        <v>0</v>
      </c>
      <c r="O2" s="2">
        <f>H2-N2</f>
        <v/>
      </c>
      <c r="P2" s="2" t="inlineStr">
        <is>
          <t>EN_CAMARA_FRIGO</t>
        </is>
      </c>
      <c r="Q2" s="2" t="inlineStr">
        <is>
          <t>NO</t>
        </is>
      </c>
      <c r="R2" s="2" t="inlineStr"/>
      <c r="S2" s="2" t="inlineStr">
        <is>
          <t>2026-09-04 11:30:00</t>
        </is>
      </c>
    </row>
    <row r="3" ht="20" customHeight="1">
      <c r="A3" s="2" t="inlineStr">
        <is>
          <t>MR-DER-00412-01</t>
        </is>
      </c>
      <c r="B3" s="3" t="n">
        <v>1</v>
      </c>
      <c r="C3" s="2" t="inlineStr">
        <is>
          <t>DER</t>
        </is>
      </c>
      <c r="D3" s="2" t="inlineStr">
        <is>
          <t>TRP-2026-00412</t>
        </is>
      </c>
      <c r="E3" s="2" t="inlineStr">
        <is>
          <t>C1</t>
        </is>
      </c>
      <c r="F3" s="2" t="inlineStr">
        <is>
          <t>MEI</t>
        </is>
      </c>
      <c r="G3" s="2" t="inlineStr">
        <is>
          <t>2026-09-04</t>
        </is>
      </c>
      <c r="H3" s="3" t="n">
        <v>42.8</v>
      </c>
      <c r="I3" s="3" t="n">
        <v>41.9</v>
      </c>
      <c r="J3" s="2">
        <f>H3-I3</f>
        <v/>
      </c>
      <c r="K3" s="2">
        <f>J3/H3</f>
        <v/>
      </c>
      <c r="L3" s="2" t="inlineStr">
        <is>
          <t>APTA</t>
        </is>
      </c>
      <c r="M3" s="2" t="inlineStr"/>
      <c r="N3" s="3" t="n">
        <v>0</v>
      </c>
      <c r="O3" s="2">
        <f>H3-N3</f>
        <v/>
      </c>
      <c r="P3" s="2" t="inlineStr">
        <is>
          <t>EN_CAMARA_FRIGO</t>
        </is>
      </c>
      <c r="Q3" s="2" t="inlineStr">
        <is>
          <t>NO</t>
        </is>
      </c>
      <c r="R3" s="2" t="inlineStr"/>
      <c r="S3" s="2" t="inlineStr">
        <is>
          <t>2026-09-04 11:30:00</t>
        </is>
      </c>
    </row>
    <row r="4" ht="20" customHeight="1">
      <c r="A4" s="2" t="inlineStr">
        <is>
          <t>MR-IZQ-00412-02</t>
        </is>
      </c>
      <c r="B4" s="3" t="n">
        <v>2</v>
      </c>
      <c r="C4" s="2" t="inlineStr">
        <is>
          <t>IZQ</t>
        </is>
      </c>
      <c r="D4" s="2" t="inlineStr">
        <is>
          <t>TRP-2026-00412</t>
        </is>
      </c>
      <c r="E4" s="2" t="inlineStr">
        <is>
          <t>CO1</t>
        </is>
      </c>
      <c r="F4" s="2" t="inlineStr">
        <is>
          <t>MEI</t>
        </is>
      </c>
      <c r="G4" s="2" t="inlineStr">
        <is>
          <t>2026-09-04</t>
        </is>
      </c>
      <c r="H4" s="3" t="n">
        <v>44.5</v>
      </c>
      <c r="I4" s="2" t="inlineStr"/>
      <c r="J4" s="2" t="inlineStr"/>
      <c r="K4" s="2" t="inlineStr"/>
      <c r="L4" s="2" t="inlineStr">
        <is>
          <t>DECOMISO_PARCIAL</t>
        </is>
      </c>
      <c r="M4" s="2" t="inlineStr">
        <is>
          <t>CO</t>
        </is>
      </c>
      <c r="N4" s="3" t="n">
        <v>3.5</v>
      </c>
      <c r="O4" s="2">
        <f>H4-N4</f>
        <v/>
      </c>
      <c r="P4" s="2" t="inlineStr">
        <is>
          <t>EN_OREO</t>
        </is>
      </c>
      <c r="Q4" s="2" t="inlineStr">
        <is>
          <t>NO</t>
        </is>
      </c>
      <c r="R4" s="2" t="inlineStr"/>
      <c r="S4" s="2" t="inlineStr">
        <is>
          <t>2026-09-04 10:15:00</t>
        </is>
      </c>
    </row>
    <row r="5" ht="20" customHeight="1">
      <c r="A5" s="2" t="inlineStr">
        <is>
          <t>MR-DER-00412-02</t>
        </is>
      </c>
      <c r="B5" s="3" t="n">
        <v>2</v>
      </c>
      <c r="C5" s="2" t="inlineStr">
        <is>
          <t>DER</t>
        </is>
      </c>
      <c r="D5" s="2" t="inlineStr">
        <is>
          <t>TRP-2026-00412</t>
        </is>
      </c>
      <c r="E5" s="2" t="inlineStr">
        <is>
          <t>CO1</t>
        </is>
      </c>
      <c r="F5" s="2" t="inlineStr">
        <is>
          <t>MEI</t>
        </is>
      </c>
      <c r="G5" s="2" t="inlineStr">
        <is>
          <t>2026-09-04</t>
        </is>
      </c>
      <c r="H5" s="3" t="n">
        <v>43.9</v>
      </c>
      <c r="I5" s="2" t="inlineStr"/>
      <c r="J5" s="2" t="inlineStr"/>
      <c r="K5" s="2" t="inlineStr"/>
      <c r="L5" s="2" t="inlineStr">
        <is>
          <t>APTA</t>
        </is>
      </c>
      <c r="M5" s="2" t="inlineStr"/>
      <c r="N5" s="3" t="n">
        <v>0</v>
      </c>
      <c r="O5" s="2">
        <f>H5-N5</f>
        <v/>
      </c>
      <c r="P5" s="2" t="inlineStr">
        <is>
          <t>EN_OREO</t>
        </is>
      </c>
      <c r="Q5" s="2" t="inlineStr">
        <is>
          <t>NO</t>
        </is>
      </c>
      <c r="R5" s="2" t="inlineStr"/>
      <c r="S5" s="2" t="inlineStr">
        <is>
          <t>2026-09-04 10:16:00</t>
        </is>
      </c>
    </row>
    <row r="6" ht="20" customHeight="1">
      <c r="A6" s="2" t="inlineStr">
        <is>
          <t>MR-IZQ-00412-03</t>
        </is>
      </c>
      <c r="B6" s="3" t="n">
        <v>3</v>
      </c>
      <c r="C6" s="2" t="inlineStr">
        <is>
          <t>IZQ</t>
        </is>
      </c>
      <c r="D6" s="2" t="inlineStr">
        <is>
          <t>TRP-2026-00412</t>
        </is>
      </c>
      <c r="E6" s="2" t="inlineStr">
        <is>
          <t>CO1</t>
        </is>
      </c>
      <c r="F6" s="2" t="inlineStr">
        <is>
          <t>CAP</t>
        </is>
      </c>
      <c r="G6" s="2" t="inlineStr">
        <is>
          <t>2026-09-04</t>
        </is>
      </c>
      <c r="H6" s="3" t="n">
        <v>41.8</v>
      </c>
      <c r="I6" s="2" t="inlineStr"/>
      <c r="J6" s="2" t="inlineStr"/>
      <c r="K6" s="2" t="inlineStr"/>
      <c r="L6" s="2" t="inlineStr">
        <is>
          <t>DECOMISO_TOTAL</t>
        </is>
      </c>
      <c r="M6" s="2" t="inlineStr"/>
      <c r="N6" s="3" t="n">
        <v>41.8</v>
      </c>
      <c r="O6" s="2">
        <f>H6-N6</f>
        <v/>
      </c>
      <c r="P6" s="2" t="inlineStr">
        <is>
          <t>DECOMISADA</t>
        </is>
      </c>
      <c r="Q6" s="2" t="inlineStr">
        <is>
          <t>NO</t>
        </is>
      </c>
      <c r="R6" s="2" t="inlineStr"/>
      <c r="S6" s="2" t="inlineStr">
        <is>
          <t>2026-09-04 10:20:00</t>
        </is>
      </c>
    </row>
    <row r="7" ht="20" customHeight="1">
      <c r="A7" s="2" t="inlineStr">
        <is>
          <t>MR-DER-00412-03</t>
        </is>
      </c>
      <c r="B7" s="3" t="n">
        <v>3</v>
      </c>
      <c r="C7" s="2" t="inlineStr">
        <is>
          <t>DER</t>
        </is>
      </c>
      <c r="D7" s="2" t="inlineStr">
        <is>
          <t>TRP-2026-00412</t>
        </is>
      </c>
      <c r="E7" s="2" t="inlineStr">
        <is>
          <t>CO1</t>
        </is>
      </c>
      <c r="F7" s="2" t="inlineStr">
        <is>
          <t>CAP</t>
        </is>
      </c>
      <c r="G7" s="2" t="inlineStr">
        <is>
          <t>2026-09-04</t>
        </is>
      </c>
      <c r="H7" s="3" t="n">
        <v>45.2</v>
      </c>
      <c r="I7" s="2" t="inlineStr"/>
      <c r="J7" s="2" t="inlineStr"/>
      <c r="K7" s="2" t="inlineStr"/>
      <c r="L7" s="2" t="inlineStr">
        <is>
          <t>APTA</t>
        </is>
      </c>
      <c r="M7" s="2" t="inlineStr"/>
      <c r="N7" s="3" t="n">
        <v>0</v>
      </c>
      <c r="O7" s="2">
        <f>H7-N7</f>
        <v/>
      </c>
      <c r="P7" s="2" t="inlineStr">
        <is>
          <t>EN_OREO</t>
        </is>
      </c>
      <c r="Q7" s="2" t="inlineStr">
        <is>
          <t>SI</t>
        </is>
      </c>
      <c r="R7" s="2" t="inlineStr">
        <is>
          <t>Administrador General (ADM-001)</t>
        </is>
      </c>
      <c r="S7" s="2" t="inlineStr">
        <is>
          <t>2026-09-04 10:22:00</t>
        </is>
      </c>
    </row>
    <row r="8" ht="20" customHeight="1">
      <c r="A8" s="2" t="inlineStr">
        <is>
          <t>MR-IZQ-00412-04</t>
        </is>
      </c>
      <c r="B8" s="3" t="n">
        <v>4</v>
      </c>
      <c r="C8" s="2" t="inlineStr">
        <is>
          <t>IZQ</t>
        </is>
      </c>
      <c r="D8" s="2" t="inlineStr">
        <is>
          <t>TRP-2026-00412</t>
        </is>
      </c>
      <c r="E8" s="2" t="inlineStr">
        <is>
          <t>C2</t>
        </is>
      </c>
      <c r="F8" s="2" t="inlineStr">
        <is>
          <t>MEI</t>
        </is>
      </c>
      <c r="G8" s="2" t="inlineStr">
        <is>
          <t>2026-09-04</t>
        </is>
      </c>
      <c r="H8" s="3" t="n">
        <v>46.5</v>
      </c>
      <c r="I8" s="3" t="n">
        <v>45.5</v>
      </c>
      <c r="J8" s="2">
        <f>H8-I8</f>
        <v/>
      </c>
      <c r="K8" s="2">
        <f>J8/H8</f>
        <v/>
      </c>
      <c r="L8" s="2" t="inlineStr">
        <is>
          <t>APTA</t>
        </is>
      </c>
      <c r="M8" s="2" t="inlineStr"/>
      <c r="N8" s="3" t="n">
        <v>0</v>
      </c>
      <c r="O8" s="2">
        <f>H8-N8</f>
        <v/>
      </c>
      <c r="P8" s="2" t="inlineStr">
        <is>
          <t>EN_CAMARA_FRIGO</t>
        </is>
      </c>
      <c r="Q8" s="2" t="inlineStr">
        <is>
          <t>NO</t>
        </is>
      </c>
      <c r="R8" s="2" t="inlineStr"/>
      <c r="S8" s="2" t="inlineStr">
        <is>
          <t>2026-09-04 12:00:00</t>
        </is>
      </c>
    </row>
    <row r="9" ht="20" customHeight="1">
      <c r="A9" s="2" t="inlineStr">
        <is>
          <t>MR-DER-00412-04</t>
        </is>
      </c>
      <c r="B9" s="3" t="n">
        <v>4</v>
      </c>
      <c r="C9" s="2" t="inlineStr">
        <is>
          <t>DER</t>
        </is>
      </c>
      <c r="D9" s="2" t="inlineStr">
        <is>
          <t>TRP-2026-00412</t>
        </is>
      </c>
      <c r="E9" s="2" t="inlineStr">
        <is>
          <t>C2</t>
        </is>
      </c>
      <c r="F9" s="2" t="inlineStr">
        <is>
          <t>MEI</t>
        </is>
      </c>
      <c r="G9" s="2" t="inlineStr">
        <is>
          <t>2026-09-04</t>
        </is>
      </c>
      <c r="H9" s="3" t="n">
        <v>45.8</v>
      </c>
      <c r="I9" s="3" t="n">
        <v>44.9</v>
      </c>
      <c r="J9" s="2">
        <f>H9-I9</f>
        <v/>
      </c>
      <c r="K9" s="2">
        <f>J9/H9</f>
        <v/>
      </c>
      <c r="L9" s="2" t="inlineStr">
        <is>
          <t>APTA</t>
        </is>
      </c>
      <c r="M9" s="2" t="inlineStr"/>
      <c r="N9" s="3" t="n">
        <v>0</v>
      </c>
      <c r="O9" s="2">
        <f>H9-N9</f>
        <v/>
      </c>
      <c r="P9" s="2" t="inlineStr">
        <is>
          <t>EN_CAMARA_FRIGO</t>
        </is>
      </c>
      <c r="Q9" s="2" t="inlineStr">
        <is>
          <t>NO</t>
        </is>
      </c>
      <c r="R9" s="2" t="inlineStr"/>
      <c r="S9" s="2" t="inlineStr">
        <is>
          <t>2026-09-04 12:00:00</t>
        </is>
      </c>
    </row>
    <row r="10" ht="20" customHeight="1">
      <c r="A10" s="2" t="inlineStr">
        <is>
          <t>MR-IZQ-00412-05</t>
        </is>
      </c>
      <c r="B10" s="3" t="n">
        <v>5</v>
      </c>
      <c r="C10" s="2" t="inlineStr">
        <is>
          <t>IZQ</t>
        </is>
      </c>
      <c r="D10" s="2" t="inlineStr">
        <is>
          <t>TRP-2026-00412</t>
        </is>
      </c>
      <c r="E10" s="2" t="inlineStr">
        <is>
          <t>FABRICA_DESOSTE</t>
        </is>
      </c>
      <c r="F10" s="2" t="inlineStr">
        <is>
          <t>CER</t>
        </is>
      </c>
      <c r="G10" s="2" t="inlineStr">
        <is>
          <t>2026-09-04</t>
        </is>
      </c>
      <c r="H10" s="3" t="n">
        <v>52.1</v>
      </c>
      <c r="I10" s="3" t="n">
        <v>50.8</v>
      </c>
      <c r="J10" s="2">
        <f>H10-I10</f>
        <v/>
      </c>
      <c r="K10" s="2">
        <f>J10/H10</f>
        <v/>
      </c>
      <c r="L10" s="2" t="inlineStr">
        <is>
          <t>APTA</t>
        </is>
      </c>
      <c r="M10" s="2" t="inlineStr"/>
      <c r="N10" s="3" t="n">
        <v>0</v>
      </c>
      <c r="O10" s="2">
        <f>H10-N10</f>
        <v/>
      </c>
      <c r="P10" s="2" t="inlineStr">
        <is>
          <t>EN_DESOSTE</t>
        </is>
      </c>
      <c r="Q10" s="2" t="inlineStr">
        <is>
          <t>NO</t>
        </is>
      </c>
      <c r="R10" s="2" t="inlineStr"/>
      <c r="S10" s="2" t="inlineStr">
        <is>
          <t>2026-09-04 14:00:00</t>
        </is>
      </c>
    </row>
    <row r="11" ht="20" customHeight="1">
      <c r="A11" s="2" t="inlineStr">
        <is>
          <t>MR-DER-00412-05</t>
        </is>
      </c>
      <c r="B11" s="3" t="n">
        <v>5</v>
      </c>
      <c r="C11" s="2" t="inlineStr">
        <is>
          <t>DER</t>
        </is>
      </c>
      <c r="D11" s="2" t="inlineStr">
        <is>
          <t>TRP-2026-00412</t>
        </is>
      </c>
      <c r="E11" s="2" t="inlineStr">
        <is>
          <t>FABRICA_DESOSTE</t>
        </is>
      </c>
      <c r="F11" s="2" t="inlineStr">
        <is>
          <t>CER</t>
        </is>
      </c>
      <c r="G11" s="2" t="inlineStr">
        <is>
          <t>2026-09-04</t>
        </is>
      </c>
      <c r="H11" s="3" t="n">
        <v>51.7</v>
      </c>
      <c r="I11" s="3" t="n">
        <v>50.5</v>
      </c>
      <c r="J11" s="2">
        <f>H11-I11</f>
        <v/>
      </c>
      <c r="K11" s="2">
        <f>J11/H11</f>
        <v/>
      </c>
      <c r="L11" s="2" t="inlineStr">
        <is>
          <t>APTA</t>
        </is>
      </c>
      <c r="M11" s="2" t="inlineStr"/>
      <c r="N11" s="3" t="n">
        <v>0</v>
      </c>
      <c r="O11" s="2">
        <f>H11-N11</f>
        <v/>
      </c>
      <c r="P11" s="2" t="inlineStr">
        <is>
          <t>EN_DESOSTE</t>
        </is>
      </c>
      <c r="Q11" s="2" t="inlineStr">
        <is>
          <t>NO</t>
        </is>
      </c>
      <c r="R11" s="2" t="inlineStr"/>
      <c r="S11" s="2" t="inlineStr">
        <is>
          <t>2026-09-04 14:00:00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9" customWidth="1" min="3" max="3"/>
    <col width="24" customWidth="1" min="4" max="4"/>
    <col width="17" customWidth="1" min="5" max="5"/>
    <col width="19" customWidth="1" min="6" max="6"/>
    <col width="17" customWidth="1" min="7" max="7"/>
    <col width="24" customWidth="1" min="8" max="8"/>
    <col width="43" customWidth="1" min="9" max="9"/>
  </cols>
  <sheetData>
    <row r="1" ht="28" customHeight="1">
      <c r="A1" s="5" t="inlineStr">
        <is>
          <t>ID_Movimiento</t>
        </is>
      </c>
      <c r="B1" s="5" t="inlineStr">
        <is>
          <t>Fecha_Hora</t>
        </is>
      </c>
      <c r="C1" s="5" t="inlineStr">
        <is>
          <t>ID_Media_Res</t>
        </is>
      </c>
      <c r="D1" s="5" t="inlineStr">
        <is>
          <t>Tipo_Movimiento</t>
        </is>
      </c>
      <c r="E1" s="5" t="inlineStr">
        <is>
          <t>Camara_Origen</t>
        </is>
      </c>
      <c r="F1" s="5" t="inlineStr">
        <is>
          <t>Camara_Destino</t>
        </is>
      </c>
      <c r="G1" s="5" t="inlineStr">
        <is>
          <t>Kilos_Movidos</t>
        </is>
      </c>
      <c r="H1" s="5" t="inlineStr">
        <is>
          <t>Operario_Responsable</t>
        </is>
      </c>
      <c r="I1" s="5" t="inlineStr">
        <is>
          <t>Motivo_Observacion</t>
        </is>
      </c>
    </row>
    <row r="2" ht="20" customHeight="1">
      <c r="A2" s="2" t="inlineStr">
        <is>
          <t>MOV-20260904-001</t>
        </is>
      </c>
      <c r="B2" s="2" t="inlineStr">
        <is>
          <t>2026-09-04 10:10:00</t>
        </is>
      </c>
      <c r="C2" s="2" t="inlineStr">
        <is>
          <t>MR-IZQ-00412-01</t>
        </is>
      </c>
      <c r="D2" s="2" t="inlineStr">
        <is>
          <t>1. INGRESO_FAENA</t>
        </is>
      </c>
      <c r="E2" s="2" t="inlineStr">
        <is>
          <t>PALCO_GANCHO</t>
        </is>
      </c>
      <c r="F2" s="2" t="inlineStr">
        <is>
          <t>CO1</t>
        </is>
      </c>
      <c r="G2" s="3" t="n">
        <v>43.1</v>
      </c>
      <c r="H2" s="2" t="inlineStr">
        <is>
          <t>Carlos Rossi</t>
        </is>
      </c>
      <c r="I2" s="2" t="inlineStr">
        <is>
          <t>Ingreso directo a oreado inicial</t>
        </is>
      </c>
    </row>
    <row r="3" ht="20" customHeight="1">
      <c r="A3" s="2" t="inlineStr">
        <is>
          <t>MOV-20260904-002</t>
        </is>
      </c>
      <c r="B3" s="2" t="inlineStr">
        <is>
          <t>2026-09-04 10:11:00</t>
        </is>
      </c>
      <c r="C3" s="2" t="inlineStr">
        <is>
          <t>MR-DER-00412-01</t>
        </is>
      </c>
      <c r="D3" s="2" t="inlineStr">
        <is>
          <t>1. INGRESO_FAENA</t>
        </is>
      </c>
      <c r="E3" s="2" t="inlineStr">
        <is>
          <t>PALCO_GANCHO</t>
        </is>
      </c>
      <c r="F3" s="2" t="inlineStr">
        <is>
          <t>CO1</t>
        </is>
      </c>
      <c r="G3" s="3" t="n">
        <v>42.8</v>
      </c>
      <c r="H3" s="2" t="inlineStr">
        <is>
          <t>Carlos Rossi</t>
        </is>
      </c>
      <c r="I3" s="2" t="inlineStr">
        <is>
          <t>Ingreso directo a oreado inicial</t>
        </is>
      </c>
    </row>
    <row r="4" ht="20" customHeight="1">
      <c r="A4" s="2" t="inlineStr">
        <is>
          <t>MOV-20260904-003</t>
        </is>
      </c>
      <c r="B4" s="2" t="inlineStr">
        <is>
          <t>2026-09-04 11:30:00</t>
        </is>
      </c>
      <c r="C4" s="2" t="inlineStr">
        <is>
          <t>MR-IZQ-00412-01</t>
        </is>
      </c>
      <c r="D4" s="2" t="inlineStr">
        <is>
          <t>2. PASE_OREO_A_FRIGO</t>
        </is>
      </c>
      <c r="E4" s="2" t="inlineStr">
        <is>
          <t>CO1</t>
        </is>
      </c>
      <c r="F4" s="2" t="inlineStr">
        <is>
          <t>C1</t>
        </is>
      </c>
      <c r="G4" s="3" t="n">
        <v>42.2</v>
      </c>
      <c r="H4" s="2" t="inlineStr">
        <is>
          <t>Esteban Morales</t>
        </is>
      </c>
      <c r="I4" s="2" t="inlineStr">
        <is>
          <t>Cumplido tiempo de oreo térmico (&lt;4°C)</t>
        </is>
      </c>
    </row>
    <row r="5" ht="20" customHeight="1">
      <c r="A5" s="2" t="inlineStr">
        <is>
          <t>MOV-20260904-004</t>
        </is>
      </c>
      <c r="B5" s="2" t="inlineStr">
        <is>
          <t>2026-09-04 11:30:30</t>
        </is>
      </c>
      <c r="C5" s="2" t="inlineStr">
        <is>
          <t>MR-DER-00412-01</t>
        </is>
      </c>
      <c r="D5" s="2" t="inlineStr">
        <is>
          <t>2. PASE_OREO_A_FRIGO</t>
        </is>
      </c>
      <c r="E5" s="2" t="inlineStr">
        <is>
          <t>CO1</t>
        </is>
      </c>
      <c r="F5" s="2" t="inlineStr">
        <is>
          <t>C1</t>
        </is>
      </c>
      <c r="G5" s="3" t="n">
        <v>41.9</v>
      </c>
      <c r="H5" s="2" t="inlineStr">
        <is>
          <t>Esteban Morales</t>
        </is>
      </c>
      <c r="I5" s="2" t="inlineStr">
        <is>
          <t>Cumplido tiempo de oreo térmico (&lt;4°C)</t>
        </is>
      </c>
    </row>
    <row r="6" ht="20" customHeight="1">
      <c r="A6" s="2" t="inlineStr">
        <is>
          <t>MOV-20260904-005</t>
        </is>
      </c>
      <c r="B6" s="2" t="inlineStr">
        <is>
          <t>2026-09-04 14:00:00</t>
        </is>
      </c>
      <c r="C6" s="2" t="inlineStr">
        <is>
          <t>MR-IZQ-00412-05</t>
        </is>
      </c>
      <c r="D6" s="2" t="inlineStr">
        <is>
          <t>4. PASE_A_FABRICA</t>
        </is>
      </c>
      <c r="E6" s="2" t="inlineStr">
        <is>
          <t>C1</t>
        </is>
      </c>
      <c r="F6" s="2" t="inlineStr">
        <is>
          <t>FABRICA_DESOSTE</t>
        </is>
      </c>
      <c r="G6" s="3" t="n">
        <v>50.8</v>
      </c>
      <c r="H6" s="2" t="inlineStr">
        <is>
          <t>Miguel Fiambrero</t>
        </is>
      </c>
      <c r="I6" s="2" t="inlineStr">
        <is>
          <t>Destinado a picado de salame y despiece</t>
        </is>
      </c>
    </row>
    <row r="7" ht="20" customHeight="1">
      <c r="A7" s="2" t="inlineStr">
        <is>
          <t>MOV-20260904-006</t>
        </is>
      </c>
      <c r="B7" s="2" t="inlineStr">
        <is>
          <t>2026-09-04 14:00:30</t>
        </is>
      </c>
      <c r="C7" s="2" t="inlineStr">
        <is>
          <t>MR-DER-00412-05</t>
        </is>
      </c>
      <c r="D7" s="2" t="inlineStr">
        <is>
          <t>4. PASE_A_FABRICA</t>
        </is>
      </c>
      <c r="E7" s="2" t="inlineStr">
        <is>
          <t>C1</t>
        </is>
      </c>
      <c r="F7" s="2" t="inlineStr">
        <is>
          <t>FABRICA_DESOSTE</t>
        </is>
      </c>
      <c r="G7" s="3" t="n">
        <v>50.5</v>
      </c>
      <c r="H7" s="2" t="inlineStr">
        <is>
          <t>Miguel Fiambrero</t>
        </is>
      </c>
      <c r="I7" s="2" t="inlineStr">
        <is>
          <t>Destinado a picado de salame y despiece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19" customWidth="1" min="4" max="4"/>
    <col width="19" customWidth="1" min="5" max="5"/>
    <col width="40" customWidth="1" min="6" max="6"/>
    <col width="24" customWidth="1" min="7" max="7"/>
    <col width="17" customWidth="1" min="8" max="8"/>
    <col width="57" customWidth="1" min="9" max="9"/>
    <col width="62" customWidth="1" min="10" max="10"/>
    <col width="44" customWidth="1" min="11" max="11"/>
    <col width="21" customWidth="1" min="12" max="12"/>
    <col width="29" customWidth="1" min="13" max="13"/>
  </cols>
  <sheetData>
    <row r="1" ht="28" customHeight="1">
      <c r="A1" s="6" t="inlineStr">
        <is>
          <t>ID_Auditoria</t>
        </is>
      </c>
      <c r="B1" s="6" t="inlineStr">
        <is>
          <t>Fecha_Auditoria</t>
        </is>
      </c>
      <c r="C1" s="6" t="inlineStr">
        <is>
          <t>Hora_Auditoria</t>
        </is>
      </c>
      <c r="D1" s="6" t="inlineStr">
        <is>
          <t>Camara_Auditada</t>
        </is>
      </c>
      <c r="E1" s="6" t="inlineStr">
        <is>
          <t>Auditor_Nombre</t>
        </is>
      </c>
      <c r="F1" s="6" t="inlineStr">
        <is>
          <t>Stock_Teorico_MR</t>
        </is>
      </c>
      <c r="G1" s="6" t="inlineStr">
        <is>
          <t>Stock_Fisico_Contado</t>
        </is>
      </c>
      <c r="H1" s="6" t="inlineStr">
        <is>
          <t>Diferencia_MR</t>
        </is>
      </c>
      <c r="I1" s="6" t="inlineStr">
        <is>
          <t>Resultado_Auditoria</t>
        </is>
      </c>
      <c r="J1" s="6" t="inlineStr">
        <is>
          <t>Nivel_Criticidad</t>
        </is>
      </c>
      <c r="K1" s="6" t="inlineStr">
        <is>
          <t>Motivo_Desvio</t>
        </is>
      </c>
      <c r="L1" s="6" t="inlineStr">
        <is>
          <t>Accion_Correctiva</t>
        </is>
      </c>
      <c r="M1" s="6" t="inlineStr">
        <is>
          <t>Firma_Auditor</t>
        </is>
      </c>
    </row>
    <row r="2" ht="20" customHeight="1">
      <c r="A2" s="2" t="inlineStr">
        <is>
          <t>AUD-20260904-01</t>
        </is>
      </c>
      <c r="B2" s="2" t="inlineStr">
        <is>
          <t>2026-09-04</t>
        </is>
      </c>
      <c r="C2" s="2" t="inlineStr">
        <is>
          <t>13:00:00</t>
        </is>
      </c>
      <c r="D2" s="2" t="inlineStr">
        <is>
          <t>CO1</t>
        </is>
      </c>
      <c r="E2" s="2" t="inlineStr">
        <is>
          <t>Esteban Morales</t>
        </is>
      </c>
      <c r="F2" s="2">
        <f>COUNTIF(Stock_Medias_Reses!E:E, D2)</f>
        <v/>
      </c>
      <c r="G2" s="3" t="n">
        <v>3</v>
      </c>
      <c r="H2" s="2">
        <f>G2-F2</f>
        <v/>
      </c>
      <c r="I2" s="2">
        <f>IF(H2=0, "EXACTO", IF(H2&lt;0, "FALTANTE", "SOBRANTE"))</f>
        <v/>
      </c>
      <c r="J2" s="2">
        <f>IF(ABS(H2)=0, "NORMAL", IF(ABS(H2)=1, "ALERTA", "GRAVE"))</f>
        <v/>
      </c>
      <c r="K2" s="2" t="inlineStr">
        <is>
          <t>Conteo coincidente con palco de faena</t>
        </is>
      </c>
      <c r="L2" s="2" t="inlineStr">
        <is>
          <t>NINGUNA</t>
        </is>
      </c>
      <c r="M2" s="2" t="inlineStr">
        <is>
          <t>Esteban Morales (SUP-001)</t>
        </is>
      </c>
    </row>
    <row r="3" ht="20" customHeight="1">
      <c r="A3" s="2" t="inlineStr">
        <is>
          <t>AUD-20260904-02</t>
        </is>
      </c>
      <c r="B3" s="2" t="inlineStr">
        <is>
          <t>2026-09-04</t>
        </is>
      </c>
      <c r="C3" s="2" t="inlineStr">
        <is>
          <t>13:30:00</t>
        </is>
      </c>
      <c r="D3" s="2" t="inlineStr">
        <is>
          <t>C1</t>
        </is>
      </c>
      <c r="E3" s="2" t="inlineStr">
        <is>
          <t>Esteban Morales</t>
        </is>
      </c>
      <c r="F3" s="2">
        <f>COUNTIF(Stock_Medias_Reses!E:E, D3)</f>
        <v/>
      </c>
      <c r="G3" s="3" t="n">
        <v>2</v>
      </c>
      <c r="H3" s="2">
        <f>G3-F3</f>
        <v/>
      </c>
      <c r="I3" s="2">
        <f>IF(H3=0, "EXACTO", IF(H3&lt;0, "FALTANTE", "SOBRANTE"))</f>
        <v/>
      </c>
      <c r="J3" s="2">
        <f>IF(ABS(H3)=0, "NORMAL", IF(ABS(H3)=1, "ALERTA", "GRAVE"))</f>
        <v/>
      </c>
      <c r="K3" s="2" t="inlineStr">
        <is>
          <t>Conforme con transferencias de la mañana</t>
        </is>
      </c>
      <c r="L3" s="2" t="inlineStr">
        <is>
          <t>NINGUNA</t>
        </is>
      </c>
      <c r="M3" s="2" t="inlineStr">
        <is>
          <t>Esteban Morales (SUP-001)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17" customWidth="1" min="3" max="3"/>
    <col width="23" customWidth="1" min="4" max="4"/>
    <col width="28" customWidth="1" min="5" max="5"/>
    <col width="22" customWidth="1" min="6" max="6"/>
  </cols>
  <sheetData>
    <row r="1" ht="28" customHeight="1">
      <c r="A1" s="4" t="inlineStr">
        <is>
          <t>Tipo_Animal_Cod</t>
        </is>
      </c>
      <c r="B1" s="4" t="inlineStr">
        <is>
          <t>Tipo_Animal_Desc</t>
        </is>
      </c>
      <c r="C1" s="4" t="inlineStr">
        <is>
          <t>Motivo_DP_Cod</t>
        </is>
      </c>
      <c r="D1" s="4" t="inlineStr">
        <is>
          <t>Motivo_DP_Desc</t>
        </is>
      </c>
      <c r="E1" s="4" t="inlineStr">
        <is>
          <t>Tipo_Movimiento</t>
        </is>
      </c>
      <c r="F1" s="4" t="inlineStr">
        <is>
          <t>Roles_Autorizados</t>
        </is>
      </c>
    </row>
    <row r="2" ht="20" customHeight="1">
      <c r="A2" s="2" t="inlineStr">
        <is>
          <t>MEI</t>
        </is>
      </c>
      <c r="B2" s="2" t="inlineStr">
        <is>
          <t>MACHO ENTERO INMUNOCASTRADO</t>
        </is>
      </c>
      <c r="C2" s="2" t="inlineStr">
        <is>
          <t>CO</t>
        </is>
      </c>
      <c r="D2" s="2" t="inlineStr">
        <is>
          <t>FRACTURA DE COLUMNA</t>
        </is>
      </c>
      <c r="E2" s="2" t="inlineStr">
        <is>
          <t>1. INGRESO_FAENA</t>
        </is>
      </c>
      <c r="F2" s="2" t="inlineStr">
        <is>
          <t>ADMINISTRADOR</t>
        </is>
      </c>
    </row>
    <row r="3" ht="20" customHeight="1">
      <c r="A3" s="2" t="inlineStr">
        <is>
          <t>CAP</t>
        </is>
      </c>
      <c r="B3" s="2" t="inlineStr">
        <is>
          <t>CAPÓN</t>
        </is>
      </c>
      <c r="C3" s="2" t="inlineStr">
        <is>
          <t>CA</t>
        </is>
      </c>
      <c r="D3" s="2" t="inlineStr">
        <is>
          <t>FRACTURA DE CADERA</t>
        </is>
      </c>
      <c r="E3" s="2" t="inlineStr">
        <is>
          <t>2. PASE_OREO_A_FRIGO</t>
        </is>
      </c>
      <c r="F3" s="2" t="inlineStr">
        <is>
          <t>SUPERVISOR</t>
        </is>
      </c>
    </row>
    <row r="4" ht="20" customHeight="1">
      <c r="A4" s="2" t="inlineStr">
        <is>
          <t>SAN</t>
        </is>
      </c>
      <c r="B4" s="2" t="inlineStr">
        <is>
          <t>SANITARIAS</t>
        </is>
      </c>
      <c r="C4" s="2" t="inlineStr">
        <is>
          <t>AB</t>
        </is>
      </c>
      <c r="D4" s="2" t="inlineStr">
        <is>
          <t>ABSCESO</t>
        </is>
      </c>
      <c r="E4" s="2" t="inlineStr">
        <is>
          <t>3. TRANSFERENCIA_INTERNA</t>
        </is>
      </c>
      <c r="F4" s="2" t="inlineStr">
        <is>
          <t>VETERINARIO_SENASA</t>
        </is>
      </c>
    </row>
    <row r="5" ht="20" customHeight="1">
      <c r="A5" s="2" t="inlineStr">
        <is>
          <t>CER</t>
        </is>
      </c>
      <c r="B5" s="2" t="inlineStr">
        <is>
          <t>CERDAS</t>
        </is>
      </c>
      <c r="C5" s="2" t="inlineStr">
        <is>
          <t>HE</t>
        </is>
      </c>
      <c r="D5" s="2" t="inlineStr">
        <is>
          <t>HEMATOMAS</t>
        </is>
      </c>
      <c r="E5" s="2" t="inlineStr">
        <is>
          <t>4. PASE_A_FABRICA</t>
        </is>
      </c>
      <c r="F5" s="2" t="inlineStr">
        <is>
          <t>OPERARIO_FAENA</t>
        </is>
      </c>
    </row>
    <row r="6" ht="20" customHeight="1">
      <c r="A6" s="2" t="inlineStr">
        <is>
          <t>CACH</t>
        </is>
      </c>
      <c r="B6" s="2" t="inlineStr">
        <is>
          <t>CACHORRAS</t>
        </is>
      </c>
      <c r="C6" s="2" t="inlineStr"/>
      <c r="D6" s="2" t="inlineStr"/>
      <c r="E6" s="2" t="inlineStr">
        <is>
          <t>5. DESPACHO_REMITO</t>
        </is>
      </c>
      <c r="F6" s="2" t="inlineStr">
        <is>
          <t>MAESTRO_CHACINERO</t>
        </is>
      </c>
    </row>
    <row r="7" ht="20" customHeight="1">
      <c r="A7" s="2" t="inlineStr">
        <is>
          <t>LECH</t>
        </is>
      </c>
      <c r="B7" s="2" t="inlineStr">
        <is>
          <t>LECHÓN</t>
        </is>
      </c>
      <c r="C7" s="2" t="inlineStr"/>
      <c r="D7" s="2" t="inlineStr"/>
      <c r="E7" s="2" t="inlineStr">
        <is>
          <t>6. AJUSTE_AUDITORIA</t>
        </is>
      </c>
      <c r="F7" s="2" t="inlineStr">
        <is>
          <t>ENCARGADO_CAMARAS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2026-09-04T23:26:59Z</dcterms:created>
  <dcterms:modified xmlns:dcterms="http://purl.org/dc/terms/" xmlns:xsi="http://www.w3.org/2001/XMLSchema-instance" xsi:type="dcterms:W3CDTF">2026-09-04T23:26:59Z</dcterms:modified>
</cp:coreProperties>
</file>